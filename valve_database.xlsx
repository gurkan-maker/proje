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VASTAS-X\Control Valve Sizing(velocity added)\"/>
    </mc:Choice>
  </mc:AlternateContent>
  <bookViews>
    <workbookView xWindow="3255" yWindow="3255" windowWidth="28800" windowHeight="15465" firstSheet="8" activeTab="10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</sheets>
  <calcPr calcId="162913"/>
</workbook>
</file>

<file path=xl/calcChain.xml><?xml version="1.0" encoding="utf-8"?>
<calcChain xmlns="http://schemas.openxmlformats.org/spreadsheetml/2006/main">
  <c r="D2" i="6" l="1"/>
  <c r="D2" i="4"/>
  <c r="D2" i="3"/>
</calcChain>
</file>

<file path=xl/sharedStrings.xml><?xml version="1.0" encoding="utf-8"?>
<sst xmlns="http://schemas.openxmlformats.org/spreadsheetml/2006/main" count="72" uniqueCount="22">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</sst>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selection activeCell="F6" sqref="F6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9" sqref="D19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</v>
      </c>
      <c r="E2" s="17"/>
    </row>
    <row r="3" spans="1:5" x14ac:dyDescent="0.25">
      <c r="A3" s="15">
        <v>10</v>
      </c>
      <c r="B3" s="32">
        <v>13.31202233912504</v>
      </c>
      <c r="C3" s="32">
        <v>0.28622500000000001</v>
      </c>
      <c r="D3" s="32">
        <v>0.53500000000000003</v>
      </c>
      <c r="E3" s="17"/>
    </row>
    <row r="4" spans="1:5" x14ac:dyDescent="0.25">
      <c r="A4" s="15">
        <v>20</v>
      </c>
      <c r="B4" s="32">
        <v>32.692258744082537</v>
      </c>
      <c r="C4" s="32">
        <v>0.42902500000000005</v>
      </c>
      <c r="D4" s="32">
        <v>0.65500000000000003</v>
      </c>
      <c r="E4" s="17"/>
    </row>
    <row r="5" spans="1:5" x14ac:dyDescent="0.25">
      <c r="A5" s="15">
        <v>30</v>
      </c>
      <c r="B5" s="32">
        <v>35.413745781315342</v>
      </c>
      <c r="C5" s="32">
        <v>0.38440000000000002</v>
      </c>
      <c r="D5" s="32">
        <v>0.62</v>
      </c>
      <c r="E5" s="17"/>
    </row>
    <row r="6" spans="1:5" x14ac:dyDescent="0.25">
      <c r="A6" s="15">
        <v>40</v>
      </c>
      <c r="B6" s="32">
        <v>38.501103306692336</v>
      </c>
      <c r="C6" s="32">
        <v>0.38440000000000002</v>
      </c>
      <c r="D6" s="32">
        <v>0.62</v>
      </c>
      <c r="E6" s="17"/>
    </row>
    <row r="7" spans="1:5" x14ac:dyDescent="0.25">
      <c r="A7" s="15">
        <v>50</v>
      </c>
      <c r="B7" s="32">
        <v>42.26830779705768</v>
      </c>
      <c r="C7" s="32">
        <v>0.5625</v>
      </c>
      <c r="D7" s="32">
        <v>0.75</v>
      </c>
      <c r="E7" s="17"/>
    </row>
    <row r="8" spans="1:5" x14ac:dyDescent="0.25">
      <c r="A8" s="15">
        <v>60</v>
      </c>
      <c r="B8" s="32">
        <v>43.230829971221965</v>
      </c>
      <c r="C8" s="32">
        <v>0.5625</v>
      </c>
      <c r="D8" s="32">
        <v>0.75</v>
      </c>
      <c r="E8" s="17"/>
    </row>
    <row r="9" spans="1:5" x14ac:dyDescent="0.25">
      <c r="A9" s="15">
        <v>70</v>
      </c>
      <c r="B9" s="32">
        <v>44.654446769820602</v>
      </c>
      <c r="C9" s="32">
        <v>0.51122499999999993</v>
      </c>
      <c r="D9" s="32">
        <v>0.71499999999999997</v>
      </c>
      <c r="E9" s="17"/>
    </row>
    <row r="10" spans="1:5" x14ac:dyDescent="0.25">
      <c r="A10" s="15">
        <v>80</v>
      </c>
      <c r="B10" s="32">
        <v>44.719984309519162</v>
      </c>
      <c r="C10" s="32">
        <v>0.51839999999999997</v>
      </c>
      <c r="D10" s="32">
        <v>0.72</v>
      </c>
      <c r="E10" s="17"/>
    </row>
    <row r="11" spans="1:5" x14ac:dyDescent="0.25">
      <c r="A11" s="15">
        <v>90</v>
      </c>
      <c r="B11" s="32">
        <v>46.670236841657392</v>
      </c>
      <c r="C11" s="32">
        <v>0.40195600000000004</v>
      </c>
      <c r="D11" s="32">
        <v>0.63400000000000001</v>
      </c>
      <c r="E11" s="17"/>
    </row>
    <row r="12" spans="1:5" ht="15.75" thickBot="1" x14ac:dyDescent="0.3">
      <c r="A12" s="18">
        <v>100</v>
      </c>
      <c r="B12" s="33">
        <v>48.040070456780072</v>
      </c>
      <c r="C12" s="33">
        <v>0.403225</v>
      </c>
      <c r="D12" s="33">
        <v>0.63500000000000001</v>
      </c>
      <c r="E12" s="20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F21" sqref="F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32">
        <v>0</v>
      </c>
      <c r="C2" s="32">
        <v>0</v>
      </c>
      <c r="D2" s="32">
        <v>0</v>
      </c>
      <c r="E2" s="24"/>
    </row>
    <row r="3" spans="1:5" x14ac:dyDescent="0.25">
      <c r="A3" s="15">
        <v>10</v>
      </c>
      <c r="B3" s="32">
        <v>38.043017182577891</v>
      </c>
      <c r="C3" s="32">
        <v>0.30913600000000008</v>
      </c>
      <c r="D3" s="32">
        <v>0.55600000000000005</v>
      </c>
      <c r="E3" s="24"/>
    </row>
    <row r="4" spans="1:5" x14ac:dyDescent="0.25">
      <c r="A4" s="15">
        <v>20</v>
      </c>
      <c r="B4" s="32">
        <v>80.246766739175129</v>
      </c>
      <c r="C4" s="32">
        <v>0.35402499999999998</v>
      </c>
      <c r="D4" s="32">
        <v>0.59499999999999997</v>
      </c>
      <c r="E4" s="24"/>
    </row>
    <row r="5" spans="1:5" x14ac:dyDescent="0.25">
      <c r="A5" s="15">
        <v>30</v>
      </c>
      <c r="B5" s="32">
        <v>118.19476772685371</v>
      </c>
      <c r="C5" s="32">
        <v>0.37209999999999999</v>
      </c>
      <c r="D5" s="32">
        <v>0.61</v>
      </c>
      <c r="E5" s="24"/>
    </row>
    <row r="6" spans="1:5" x14ac:dyDescent="0.25">
      <c r="A6" s="15">
        <v>40</v>
      </c>
      <c r="B6" s="32">
        <v>139.21847882617462</v>
      </c>
      <c r="C6" s="32">
        <v>0.48999999999999994</v>
      </c>
      <c r="D6" s="32">
        <v>0.7</v>
      </c>
      <c r="E6" s="24"/>
    </row>
    <row r="7" spans="1:5" x14ac:dyDescent="0.25">
      <c r="A7" s="15">
        <v>50</v>
      </c>
      <c r="B7" s="32">
        <v>155.26096587806657</v>
      </c>
      <c r="C7" s="32">
        <v>0.53289999999999993</v>
      </c>
      <c r="D7" s="32">
        <v>0.73</v>
      </c>
      <c r="E7" s="24"/>
    </row>
    <row r="8" spans="1:5" x14ac:dyDescent="0.25">
      <c r="A8" s="15">
        <v>60</v>
      </c>
      <c r="B8" s="32">
        <v>156.95350477559671</v>
      </c>
      <c r="C8" s="32">
        <v>0.5776</v>
      </c>
      <c r="D8" s="32">
        <v>0.76</v>
      </c>
      <c r="E8" s="24"/>
    </row>
    <row r="9" spans="1:5" x14ac:dyDescent="0.25">
      <c r="A9" s="15">
        <v>70</v>
      </c>
      <c r="B9" s="32">
        <v>169.70553538262996</v>
      </c>
      <c r="C9" s="32">
        <v>0.53289999999999993</v>
      </c>
      <c r="D9" s="32">
        <v>0.73</v>
      </c>
      <c r="E9" s="24"/>
    </row>
    <row r="10" spans="1:5" x14ac:dyDescent="0.25">
      <c r="A10" s="15">
        <v>80</v>
      </c>
      <c r="B10" s="32">
        <v>171.43697025221709</v>
      </c>
      <c r="C10" s="32">
        <v>0.47609999999999991</v>
      </c>
      <c r="D10" s="32">
        <v>0.69</v>
      </c>
      <c r="E10" s="24"/>
    </row>
    <row r="11" spans="1:5" x14ac:dyDescent="0.25">
      <c r="A11" s="15">
        <v>90</v>
      </c>
      <c r="B11" s="32">
        <v>176.87229528170275</v>
      </c>
      <c r="C11" s="32">
        <v>0.48163599999999995</v>
      </c>
      <c r="D11" s="32">
        <v>0.69399999999999995</v>
      </c>
      <c r="E11" s="24"/>
    </row>
    <row r="12" spans="1:5" ht="15.75" thickBot="1" x14ac:dyDescent="0.3">
      <c r="A12" s="18">
        <v>100</v>
      </c>
      <c r="B12" s="33">
        <v>182.5517650824853</v>
      </c>
      <c r="C12" s="33">
        <v>0.48999999999999994</v>
      </c>
      <c r="D12" s="33">
        <v>0.7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20" sqref="D20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32">
        <v>0</v>
      </c>
      <c r="C2" s="32">
        <v>0</v>
      </c>
      <c r="D2" s="32">
        <f>D3</f>
        <v>0.32800000000000001</v>
      </c>
      <c r="E2" s="24"/>
    </row>
    <row r="3" spans="1:5" x14ac:dyDescent="0.25">
      <c r="A3" s="15">
        <v>10</v>
      </c>
      <c r="B3" s="32">
        <v>100</v>
      </c>
      <c r="C3" s="32">
        <v>0.68</v>
      </c>
      <c r="D3" s="32">
        <v>0.32800000000000001</v>
      </c>
      <c r="E3" s="24"/>
    </row>
    <row r="4" spans="1:5" x14ac:dyDescent="0.25">
      <c r="A4" s="15">
        <v>20</v>
      </c>
      <c r="B4" s="32">
        <v>200</v>
      </c>
      <c r="C4" s="32">
        <v>0.68</v>
      </c>
      <c r="D4" s="32">
        <v>0.32800000000000001</v>
      </c>
      <c r="E4" s="24"/>
    </row>
    <row r="5" spans="1:5" x14ac:dyDescent="0.25">
      <c r="A5" s="15">
        <v>30</v>
      </c>
      <c r="B5" s="32">
        <v>300</v>
      </c>
      <c r="C5" s="32">
        <v>0.68</v>
      </c>
      <c r="D5" s="32">
        <v>0.32800000000000001</v>
      </c>
      <c r="E5" s="24"/>
    </row>
    <row r="6" spans="1:5" x14ac:dyDescent="0.25">
      <c r="A6" s="15">
        <v>40</v>
      </c>
      <c r="B6" s="32">
        <v>400</v>
      </c>
      <c r="C6" s="32">
        <v>0.68</v>
      </c>
      <c r="D6" s="32">
        <v>0.32800000000000001</v>
      </c>
      <c r="E6" s="24"/>
    </row>
    <row r="7" spans="1:5" x14ac:dyDescent="0.25">
      <c r="A7" s="15">
        <v>50</v>
      </c>
      <c r="B7" s="32">
        <v>600</v>
      </c>
      <c r="C7" s="32">
        <v>0.68</v>
      </c>
      <c r="D7" s="32">
        <v>0.32800000000000001</v>
      </c>
      <c r="E7" s="24"/>
    </row>
    <row r="8" spans="1:5" x14ac:dyDescent="0.25">
      <c r="A8" s="15">
        <v>60</v>
      </c>
      <c r="B8" s="32">
        <v>800</v>
      </c>
      <c r="C8" s="32">
        <v>0.68</v>
      </c>
      <c r="D8" s="32">
        <v>0.32800000000000001</v>
      </c>
      <c r="E8" s="24"/>
    </row>
    <row r="9" spans="1:5" x14ac:dyDescent="0.25">
      <c r="A9" s="15">
        <v>70</v>
      </c>
      <c r="B9" s="32">
        <v>1118</v>
      </c>
      <c r="C9" s="32">
        <v>0.68</v>
      </c>
      <c r="D9" s="32">
        <v>0.32800000000000001</v>
      </c>
      <c r="E9" s="24"/>
    </row>
    <row r="10" spans="1:5" x14ac:dyDescent="0.25">
      <c r="A10" s="15">
        <v>80</v>
      </c>
      <c r="B10" s="32">
        <v>1515</v>
      </c>
      <c r="C10" s="32">
        <v>0.68</v>
      </c>
      <c r="D10" s="32">
        <v>0.52500000000000002</v>
      </c>
      <c r="E10" s="24"/>
    </row>
    <row r="11" spans="1:5" x14ac:dyDescent="0.25">
      <c r="A11" s="15">
        <v>90</v>
      </c>
      <c r="B11" s="32">
        <v>1800</v>
      </c>
      <c r="C11" s="32">
        <v>0.68</v>
      </c>
      <c r="D11" s="32">
        <v>0.3</v>
      </c>
      <c r="E11" s="24"/>
    </row>
    <row r="12" spans="1:5" ht="15.75" thickBot="1" x14ac:dyDescent="0.3">
      <c r="A12" s="18">
        <v>100</v>
      </c>
      <c r="B12" s="33">
        <v>2190</v>
      </c>
      <c r="C12" s="33">
        <v>0.68</v>
      </c>
      <c r="D12" s="33">
        <v>0.13700000000000001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20" sqref="H20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32">
        <v>0</v>
      </c>
      <c r="C2" s="32">
        <v>0</v>
      </c>
      <c r="D2" s="32">
        <v>0</v>
      </c>
      <c r="E2" s="24"/>
    </row>
    <row r="3" spans="1:5" x14ac:dyDescent="0.25">
      <c r="A3" s="15">
        <v>10</v>
      </c>
      <c r="B3" s="32">
        <v>50</v>
      </c>
      <c r="C3" s="32">
        <v>0.61622500000000002</v>
      </c>
      <c r="D3" s="32">
        <v>0.78500000000000003</v>
      </c>
      <c r="E3" s="24"/>
    </row>
    <row r="4" spans="1:5" x14ac:dyDescent="0.25">
      <c r="A4" s="15">
        <v>20</v>
      </c>
      <c r="B4" s="32">
        <v>100</v>
      </c>
      <c r="C4" s="32">
        <v>0.61622500000000002</v>
      </c>
      <c r="D4" s="32">
        <v>0.78500000000000003</v>
      </c>
      <c r="E4" s="24"/>
    </row>
    <row r="5" spans="1:5" x14ac:dyDescent="0.25">
      <c r="A5" s="15">
        <v>30</v>
      </c>
      <c r="B5" s="32">
        <v>200</v>
      </c>
      <c r="C5" s="32">
        <v>0.61622500000000002</v>
      </c>
      <c r="D5" s="32">
        <v>0.78500000000000003</v>
      </c>
      <c r="E5" s="24"/>
    </row>
    <row r="6" spans="1:5" x14ac:dyDescent="0.25">
      <c r="A6" s="15">
        <v>40</v>
      </c>
      <c r="B6" s="32">
        <v>300</v>
      </c>
      <c r="C6" s="32">
        <v>0.61622500000000002</v>
      </c>
      <c r="D6" s="32">
        <v>0.78500000000000003</v>
      </c>
      <c r="E6" s="24"/>
    </row>
    <row r="7" spans="1:5" x14ac:dyDescent="0.25">
      <c r="A7" s="15">
        <v>50</v>
      </c>
      <c r="B7" s="32">
        <v>500</v>
      </c>
      <c r="C7" s="32">
        <v>0.61622500000000002</v>
      </c>
      <c r="D7" s="32">
        <v>0.78500000000000003</v>
      </c>
      <c r="E7" s="24"/>
    </row>
    <row r="8" spans="1:5" x14ac:dyDescent="0.25">
      <c r="A8" s="15">
        <v>60</v>
      </c>
      <c r="B8" s="32">
        <v>700</v>
      </c>
      <c r="C8" s="32">
        <v>0.61622500000000002</v>
      </c>
      <c r="D8" s="32">
        <v>0.78500000000000003</v>
      </c>
      <c r="E8" s="24"/>
    </row>
    <row r="9" spans="1:5" x14ac:dyDescent="0.25">
      <c r="A9" s="15">
        <v>70</v>
      </c>
      <c r="B9" s="32">
        <v>900</v>
      </c>
      <c r="C9" s="32">
        <v>0.61622500000000002</v>
      </c>
      <c r="D9" s="32">
        <v>0.78500000000000003</v>
      </c>
      <c r="E9" s="24"/>
    </row>
    <row r="10" spans="1:5" x14ac:dyDescent="0.25">
      <c r="A10" s="15">
        <v>80</v>
      </c>
      <c r="B10" s="32">
        <v>1100</v>
      </c>
      <c r="C10" s="32">
        <v>0.61622500000000002</v>
      </c>
      <c r="D10" s="32">
        <v>0.78500000000000003</v>
      </c>
      <c r="E10" s="24"/>
    </row>
    <row r="11" spans="1:5" x14ac:dyDescent="0.25">
      <c r="A11" s="15">
        <v>90</v>
      </c>
      <c r="B11" s="32">
        <v>1323.0184453148931</v>
      </c>
      <c r="C11" s="32">
        <v>0.47609999999999991</v>
      </c>
      <c r="D11" s="32">
        <v>0.69</v>
      </c>
      <c r="E11" s="24"/>
    </row>
    <row r="12" spans="1:5" ht="15.75" thickBot="1" x14ac:dyDescent="0.3">
      <c r="A12" s="18">
        <v>100</v>
      </c>
      <c r="B12" s="33">
        <v>1338.5243484781358</v>
      </c>
      <c r="C12" s="33">
        <v>0.37209999999999999</v>
      </c>
      <c r="D12" s="33">
        <v>0.61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0" sqref="C20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E22" sqref="E2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28">
        <v>0</v>
      </c>
      <c r="C2" s="28">
        <v>0</v>
      </c>
      <c r="D2" s="28">
        <v>0</v>
      </c>
      <c r="E2" s="26"/>
    </row>
    <row r="3" spans="1:5" x14ac:dyDescent="0.25">
      <c r="A3" s="30">
        <v>10</v>
      </c>
      <c r="B3" s="28">
        <v>0</v>
      </c>
      <c r="C3" s="28">
        <v>0</v>
      </c>
      <c r="D3" s="28">
        <v>0</v>
      </c>
      <c r="E3" s="26"/>
    </row>
    <row r="4" spans="1:5" x14ac:dyDescent="0.25">
      <c r="A4" s="30">
        <v>25</v>
      </c>
      <c r="B4" s="28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28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28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28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28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28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28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28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1">
        <v>100</v>
      </c>
      <c r="B12" s="29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6" sqref="G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2025-09-22T14:42:12Z</dcterms:modified>
</cp:coreProperties>
</file>